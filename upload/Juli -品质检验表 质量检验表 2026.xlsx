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Report_Generator_Offline_v2\"/>
    </mc:Choice>
  </mc:AlternateContent>
  <xr:revisionPtr revIDLastSave="0" documentId="8_{EA2C2CC2-CC20-4858-BC1B-E6153875FF7F}" xr6:coauthVersionLast="47" xr6:coauthVersionMax="47" xr10:uidLastSave="{00000000-0000-0000-0000-000000000000}"/>
  <bookViews>
    <workbookView xWindow="-110" yWindow="-110" windowWidth="19420" windowHeight="10420" xr2:uid="{F74DA5A4-D279-46DF-8D32-CEA9BE88F6D1}"/>
  </bookViews>
  <sheets>
    <sheet name="31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W45" i="1" l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I45" i="1"/>
  <c r="G45" i="1"/>
  <c r="J44" i="1"/>
  <c r="K44" i="1" s="1"/>
  <c r="H44" i="1"/>
  <c r="J43" i="1"/>
  <c r="K43" i="1" s="1"/>
  <c r="H43" i="1"/>
  <c r="K42" i="1"/>
  <c r="J42" i="1"/>
  <c r="H42" i="1"/>
  <c r="J41" i="1"/>
  <c r="K41" i="1" s="1"/>
  <c r="H41" i="1"/>
  <c r="J40" i="1"/>
  <c r="K40" i="1" s="1"/>
  <c r="H40" i="1"/>
  <c r="J39" i="1"/>
  <c r="H39" i="1"/>
  <c r="K39" i="1" s="1"/>
  <c r="K38" i="1"/>
  <c r="J38" i="1"/>
  <c r="H38" i="1"/>
  <c r="J37" i="1"/>
  <c r="K37" i="1" s="1"/>
  <c r="H37" i="1"/>
  <c r="J36" i="1"/>
  <c r="K36" i="1" s="1"/>
  <c r="H36" i="1"/>
  <c r="J35" i="1"/>
  <c r="H35" i="1"/>
  <c r="K35" i="1" s="1"/>
  <c r="K34" i="1"/>
  <c r="J34" i="1"/>
  <c r="H34" i="1"/>
  <c r="J33" i="1"/>
  <c r="K33" i="1" s="1"/>
  <c r="H33" i="1"/>
  <c r="J32" i="1"/>
  <c r="K32" i="1" s="1"/>
  <c r="H32" i="1"/>
  <c r="J31" i="1"/>
  <c r="H31" i="1"/>
  <c r="K31" i="1" s="1"/>
  <c r="K30" i="1"/>
  <c r="J30" i="1"/>
  <c r="H30" i="1"/>
  <c r="J29" i="1"/>
  <c r="K29" i="1" s="1"/>
  <c r="H29" i="1"/>
  <c r="J28" i="1"/>
  <c r="J27" i="1"/>
  <c r="H27" i="1"/>
  <c r="K27" i="1" s="1"/>
  <c r="K26" i="1"/>
  <c r="J26" i="1"/>
  <c r="H26" i="1"/>
  <c r="J25" i="1"/>
  <c r="K25" i="1" s="1"/>
  <c r="H25" i="1"/>
  <c r="J24" i="1"/>
  <c r="K24" i="1" s="1"/>
  <c r="H24" i="1"/>
  <c r="J23" i="1"/>
  <c r="H23" i="1"/>
  <c r="K23" i="1" s="1"/>
  <c r="K22" i="1"/>
  <c r="J22" i="1"/>
  <c r="H22" i="1"/>
  <c r="J21" i="1"/>
  <c r="K21" i="1" s="1"/>
  <c r="H21" i="1"/>
  <c r="J20" i="1"/>
  <c r="K20" i="1" s="1"/>
  <c r="H20" i="1"/>
  <c r="J19" i="1"/>
  <c r="H19" i="1"/>
  <c r="K19" i="1" s="1"/>
  <c r="K18" i="1"/>
  <c r="J18" i="1"/>
  <c r="H18" i="1"/>
  <c r="J17" i="1"/>
  <c r="K17" i="1" s="1"/>
  <c r="H17" i="1"/>
  <c r="J16" i="1"/>
  <c r="K16" i="1" s="1"/>
  <c r="H16" i="1"/>
  <c r="J15" i="1"/>
  <c r="K15" i="1" s="1"/>
  <c r="H15" i="1"/>
  <c r="K14" i="1"/>
  <c r="J14" i="1"/>
  <c r="H14" i="1"/>
  <c r="J13" i="1"/>
  <c r="K13" i="1" s="1"/>
  <c r="H13" i="1"/>
  <c r="J12" i="1"/>
  <c r="K12" i="1" s="1"/>
  <c r="H12" i="1"/>
  <c r="J11" i="1"/>
  <c r="K11" i="1" s="1"/>
  <c r="H11" i="1"/>
  <c r="K10" i="1"/>
  <c r="J10" i="1"/>
  <c r="H10" i="1"/>
  <c r="J9" i="1"/>
  <c r="K9" i="1" s="1"/>
  <c r="H9" i="1"/>
  <c r="J8" i="1"/>
  <c r="K8" i="1" s="1"/>
  <c r="H8" i="1"/>
  <c r="J7" i="1"/>
  <c r="K7" i="1" s="1"/>
  <c r="H7" i="1"/>
  <c r="K6" i="1"/>
  <c r="J6" i="1"/>
  <c r="H6" i="1"/>
  <c r="J5" i="1"/>
  <c r="K5" i="1" s="1"/>
  <c r="H5" i="1"/>
  <c r="J4" i="1"/>
  <c r="H4" i="1"/>
  <c r="H45" i="1" l="1"/>
  <c r="H28" i="1"/>
  <c r="K28" i="1" s="1"/>
  <c r="K4" i="1"/>
  <c r="J45" i="1"/>
  <c r="K45" i="1" l="1"/>
</calcChain>
</file>

<file path=xl/sharedStrings.xml><?xml version="1.0" encoding="utf-8"?>
<sst xmlns="http://schemas.openxmlformats.org/spreadsheetml/2006/main" count="242" uniqueCount="209">
  <si>
    <t>厦门市欣维发实业有限公司品质检验表</t>
  </si>
  <si>
    <t>日期 (Tanggal)</t>
  </si>
  <si>
    <t>组别
(Grup/Line)</t>
  </si>
  <si>
    <t>品检员 
(QC Inspector)</t>
  </si>
  <si>
    <t>款号
(Kode Style)</t>
  </si>
  <si>
    <t>订单号
(No. Order)</t>
  </si>
  <si>
    <t>备注
(Keterangan)</t>
  </si>
  <si>
    <t>订单数量 
(Qty Order)</t>
  </si>
  <si>
    <t>检验数量
(Qty Inspeksi)</t>
  </si>
  <si>
    <t>合格数
(Qty OK)</t>
  </si>
  <si>
    <t>不良数
(Qty NG)</t>
  </si>
  <si>
    <t>不良率
(Defect Rate)</t>
  </si>
  <si>
    <t>针车问题 (Masalah Jahitan)</t>
  </si>
  <si>
    <t>LOGO问题 (Masalah Logo)</t>
  </si>
  <si>
    <t>面料问题 (Masalah Material)</t>
  </si>
  <si>
    <t>五金问题 (Masalah Aksesoris)</t>
  </si>
  <si>
    <t>外观问题 (Masalah Tampilan)</t>
  </si>
  <si>
    <t>拉链问题 (Masalah Resleting)</t>
  </si>
  <si>
    <t>织带问题 (Masalah Webbing)</t>
  </si>
  <si>
    <t>其它问题 (Masalah Lain)</t>
  </si>
  <si>
    <t>备料问题 (Masalah Persiapan)</t>
  </si>
  <si>
    <t>针车不良 (Cacat Jahitan)</t>
  </si>
  <si>
    <t>浮线、打折、跳针Benang mengambang, kerut, loncat jahitan</t>
  </si>
  <si>
    <t>漏假线、脱线Kurang jahitan / benang lepas</t>
  </si>
  <si>
    <t>漏包Tidak terjahit</t>
  </si>
  <si>
    <t>针孔Lubang jarum</t>
  </si>
  <si>
    <t>漏打枣Bartack tidak ada</t>
  </si>
  <si>
    <t>压脚印Bekas sepatu mesin</t>
  </si>
  <si>
    <t>回针不到位Jahitan balik tidak tepat</t>
  </si>
  <si>
    <t>合包错误Salah gabung panel</t>
  </si>
  <si>
    <t>未折头Ujung tidak dilipat</t>
  </si>
  <si>
    <t>魔术贴车反Velcro terbalik</t>
  </si>
  <si>
    <t>大小边Tidak simetris</t>
  </si>
  <si>
    <t>三角片高低Tidak sejajar</t>
  </si>
  <si>
    <t>线头透色Benang tembus warna</t>
  </si>
  <si>
    <t>线头Sisa benang</t>
  </si>
  <si>
    <t>套棉不到位Busa tidak pas</t>
  </si>
  <si>
    <t>歪斜Miring</t>
  </si>
  <si>
    <t>LOGO 倒了Logo terbalik</t>
  </si>
  <si>
    <t>LOGO 不良Logo cacat</t>
  </si>
  <si>
    <t>LOGO 脱落Logo lepas</t>
  </si>
  <si>
    <t>色差Perbedaan warna</t>
  </si>
  <si>
    <t>抽纱Benang kain tertarik</t>
  </si>
  <si>
    <t>起皱Kerut</t>
  </si>
  <si>
    <t>破损Rusak</t>
  </si>
  <si>
    <t>暴口Jahitan terbuka</t>
  </si>
  <si>
    <t>刮伤Tergores</t>
  </si>
  <si>
    <t>功能不佳Fungsi tidak baik</t>
  </si>
  <si>
    <t>少配件Kurang aksesoris</t>
  </si>
  <si>
    <t>脏污、油污Kotor/berminyak</t>
  </si>
  <si>
    <t>爬骨Tulang tidak rata</t>
  </si>
  <si>
    <t>歪包Tas tidak lurus</t>
  </si>
  <si>
    <t>手提错位Handle tidak sejajar</t>
  </si>
  <si>
    <t>漏打钉Kurang rivet</t>
  </si>
  <si>
    <t>刺手、卡涩Tajam/macat</t>
  </si>
  <si>
    <t>拉链起波浪Zipper bergelombang</t>
  </si>
  <si>
    <t>拉头反了Kepala zipper terbalik</t>
  </si>
  <si>
    <t>颜色错误Warna salah</t>
  </si>
  <si>
    <t>织带扭曲Webbing terpelintir</t>
  </si>
  <si>
    <t>车线不居中Jahitan tidak di tengah</t>
  </si>
  <si>
    <t>水洗标车倒了，遗车Label wash terbalik/terlewat</t>
  </si>
  <si>
    <t>水洗标错误Label wash salah</t>
  </si>
  <si>
    <t>织唛标车反Label woven terbalik</t>
  </si>
  <si>
    <t>织唛标遗漏Label woven tidak ada</t>
  </si>
  <si>
    <t>内里车反Lining terbalik</t>
  </si>
  <si>
    <t>透明片不良Plastik cacat</t>
  </si>
  <si>
    <t>打钉不良Rivet tidak baik</t>
  </si>
  <si>
    <t>配件歪斜Aksesoris miring</t>
  </si>
  <si>
    <t>配件掉漆Cat mengelupas</t>
  </si>
  <si>
    <t>打枣不到位Bartack tidak tepat</t>
  </si>
  <si>
    <t>打枣位置不标准Posisi bartack tidak standar</t>
  </si>
  <si>
    <t>LOGO 歪斜Logo miring</t>
  </si>
  <si>
    <t>魔术贴歪斜Velcro miring</t>
  </si>
  <si>
    <t>魔术贴脱线Velcro lepas</t>
  </si>
  <si>
    <t>拉杆套歪斜Cover trolley miring</t>
  </si>
  <si>
    <t>拉杆套距离偏短Jarak terlalu pendek</t>
  </si>
  <si>
    <t>织带车错位Webbing salah posisi</t>
  </si>
  <si>
    <t>织带定位高低Posisi tidak sejajar</t>
  </si>
  <si>
    <t>车线边距不一致Jarak jahitan tidak konsisten</t>
  </si>
  <si>
    <t>松线/脱线Benang kendor/lepas</t>
  </si>
  <si>
    <t>浮线/跳针Loncat jahitan</t>
  </si>
  <si>
    <t>花样机车线边距不一致Jarak jahitan pola tidak konsisten</t>
  </si>
  <si>
    <t>松紧带歪斜Karet miring</t>
  </si>
  <si>
    <t>LOGO字体脱落Logo tulisan lepas</t>
  </si>
  <si>
    <t>LOGO 刮伤Logo tergores</t>
  </si>
  <si>
    <t>三角片车反Segitiga terbalik</t>
  </si>
  <si>
    <t>车缝二十三组(Sewing Line 23)</t>
  </si>
  <si>
    <t>yuli</t>
  </si>
  <si>
    <t>WF-CB-REB516-457</t>
  </si>
  <si>
    <t>PTOEM260202</t>
  </si>
  <si>
    <t>WF-TR-REB463-2-0</t>
  </si>
  <si>
    <t>PTOEM260207</t>
  </si>
  <si>
    <t>WF-TR-REB508-001</t>
  </si>
  <si>
    <t>PTOEM260208</t>
  </si>
  <si>
    <t>车缝二十二组(Sewing Line 22)</t>
  </si>
  <si>
    <t>riska</t>
  </si>
  <si>
    <t>WF-TR-REB467-001</t>
  </si>
  <si>
    <t>PTOEM260211</t>
  </si>
  <si>
    <t>车缝二十四组(Sewing Line 24)</t>
  </si>
  <si>
    <t>karisma</t>
  </si>
  <si>
    <t>WF-TR-REB495-004</t>
  </si>
  <si>
    <t>PTOEM260216</t>
  </si>
  <si>
    <t>车缝四组(Sewing Line 4)</t>
  </si>
  <si>
    <t>brilian</t>
  </si>
  <si>
    <t>WF-TR-REB290-001</t>
  </si>
  <si>
    <t>PTOEM260224</t>
  </si>
  <si>
    <t>车缝六组 (Sewing Line 6A)</t>
  </si>
  <si>
    <t>sheli</t>
  </si>
  <si>
    <t>WF-TR-REB059-001</t>
  </si>
  <si>
    <t>PTOEM260233</t>
  </si>
  <si>
    <t>车缝六组 (Sewing Line 6B)</t>
  </si>
  <si>
    <t>wita</t>
  </si>
  <si>
    <t>车缝十八组(Sewing Line 18)</t>
  </si>
  <si>
    <t>deni</t>
  </si>
  <si>
    <t>WF-TR-REB122-300</t>
  </si>
  <si>
    <t>PTOEM260236</t>
  </si>
  <si>
    <t>车缝三组 (Sewing Line 3A)</t>
  </si>
  <si>
    <t>BM0301169AN001</t>
  </si>
  <si>
    <t>PTB2C260061-001</t>
  </si>
  <si>
    <t>BM0301169AN006</t>
  </si>
  <si>
    <t>PTB2C260061-006</t>
  </si>
  <si>
    <t>车缝八组 (Sewing Line 8B)</t>
  </si>
  <si>
    <t>BM0108003AN001</t>
  </si>
  <si>
    <t>PTB2C260071</t>
  </si>
  <si>
    <t>车缝八组 (Sewing Line 8A)</t>
  </si>
  <si>
    <t>BM0108003AN005</t>
  </si>
  <si>
    <t>PTB2C260087-005</t>
  </si>
  <si>
    <t>BM0108003AN008</t>
  </si>
  <si>
    <t>PTB2C260087-008</t>
  </si>
  <si>
    <t>车缝七组 (Sewing Line 7A)</t>
  </si>
  <si>
    <t>novi</t>
  </si>
  <si>
    <t>BM0108075BN611</t>
  </si>
  <si>
    <t>PTB2C260091</t>
  </si>
  <si>
    <t>车缝九组(Sewing Line 9)</t>
  </si>
  <si>
    <t>salma</t>
  </si>
  <si>
    <t>BM0306029AN001</t>
  </si>
  <si>
    <t>PTB2C260093-001</t>
  </si>
  <si>
    <t>车缝三组 (Sewing Line 3B)</t>
  </si>
  <si>
    <t>车缝十七组(Sewing Line 17)</t>
  </si>
  <si>
    <t>novita</t>
  </si>
  <si>
    <t>BM0108063BL268</t>
  </si>
  <si>
    <t>PTB2C260095</t>
  </si>
  <si>
    <t>BM0108075AN274</t>
  </si>
  <si>
    <t>PTB2C260097</t>
  </si>
  <si>
    <t>车缝七组 (Sewing Line 7B)</t>
  </si>
  <si>
    <t>meli</t>
  </si>
  <si>
    <t>车缝二十一组(Sewing Line 21)</t>
  </si>
  <si>
    <t>maemanah</t>
  </si>
  <si>
    <t>BM0305067AN006</t>
  </si>
  <si>
    <t>PTB2C260098</t>
  </si>
  <si>
    <t>车缝五组 (Sewing Line 5A)</t>
  </si>
  <si>
    <t>listiani</t>
  </si>
  <si>
    <t>BM0108122FN602</t>
  </si>
  <si>
    <t>PTB2C260101-602</t>
  </si>
  <si>
    <t>车缝十组(Sewing Line 10)</t>
  </si>
  <si>
    <t>ziah</t>
  </si>
  <si>
    <t>BM0102040AN470</t>
  </si>
  <si>
    <t>PTB2C260103-470</t>
  </si>
  <si>
    <t>BM0108003BN176</t>
  </si>
  <si>
    <t>PTB2C260104-176</t>
  </si>
  <si>
    <t>BM0108003BN279</t>
  </si>
  <si>
    <t>PTB2C260104-279</t>
  </si>
  <si>
    <t>BM0108122EN001</t>
  </si>
  <si>
    <t>PTB2C260106-001</t>
  </si>
  <si>
    <t>车缝五组 (Sewing Line 5B)</t>
  </si>
  <si>
    <t>miftah</t>
  </si>
  <si>
    <t>BM0108022SB273</t>
  </si>
  <si>
    <t>PTB2C260115</t>
  </si>
  <si>
    <t>车缝十二组(Sewing Line 12)</t>
  </si>
  <si>
    <t>inayah</t>
  </si>
  <si>
    <t>410238004</t>
  </si>
  <si>
    <t>PTGH26030040</t>
  </si>
  <si>
    <t>车缝十九组(Sewing Line 19)</t>
  </si>
  <si>
    <t>dwi</t>
  </si>
  <si>
    <t>410236904</t>
  </si>
  <si>
    <t>PTGH26030041</t>
  </si>
  <si>
    <t>485258022</t>
  </si>
  <si>
    <t>PTGH26030066</t>
  </si>
  <si>
    <t>车缝十四组(Sewing Line 14)</t>
  </si>
  <si>
    <t>via</t>
  </si>
  <si>
    <t>485256522</t>
  </si>
  <si>
    <t>PTGH26030067</t>
  </si>
  <si>
    <t>车缝十五组(Sewing Line 15)</t>
  </si>
  <si>
    <t>ayu</t>
  </si>
  <si>
    <t>485256922</t>
  </si>
  <si>
    <t>PTGH26030068</t>
  </si>
  <si>
    <t>410236901</t>
  </si>
  <si>
    <t>PTGH26040073</t>
  </si>
  <si>
    <t>车缝十六组(Sewing Line 16)</t>
  </si>
  <si>
    <t>putri</t>
  </si>
  <si>
    <t>401170347</t>
  </si>
  <si>
    <t>PTGH26040075</t>
  </si>
  <si>
    <t>车缝二十组(Sewing Line 20)</t>
  </si>
  <si>
    <t>luthfi</t>
  </si>
  <si>
    <t>401176506</t>
  </si>
  <si>
    <t>PTGH26040077</t>
  </si>
  <si>
    <t>401176547</t>
  </si>
  <si>
    <t>PTGH26040078</t>
  </si>
  <si>
    <t>车缝十一组(Sewing Line 11)</t>
  </si>
  <si>
    <t>risa</t>
  </si>
  <si>
    <t>401176701</t>
  </si>
  <si>
    <t>PTGH26040079</t>
  </si>
  <si>
    <t>车缝二组(Sewing Line 2)</t>
  </si>
  <si>
    <t>Naja</t>
  </si>
  <si>
    <t>147326-1041</t>
  </si>
  <si>
    <t>PTGH26050083</t>
  </si>
  <si>
    <t>车缝一组(Sewing Line 1)</t>
  </si>
  <si>
    <t>Tyas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</si>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</sst>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8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A35D-4904-49EE-8E64-DEEA426D6914}">
  <dimension ref="A1:BW45"/>
  <sheetViews>
    <sheetView tabSelected="1" topLeftCell="BL1" workbookViewId="0">
      <selection activeCell="C2" sqref="C2:C3"/>
    </sheetView>
  </sheetViews>
  <sheetFormatPr defaultRowHeight="14.5"/>
  <cols>
    <col min="1" max="1" width="12.453125" style="13" customWidth="1"/>
    <col min="2" max="2" width="25.1796875" customWidth="1"/>
    <col min="3" max="3" width="24.6328125" customWidth="1"/>
    <col min="4" max="4" width="17.90625" customWidth="1"/>
    <col min="5" max="5" width="15.54296875" customWidth="1"/>
    <col min="6" max="6" width="16" customWidth="1"/>
    <col min="7" max="7" width="14.453125" customWidth="1"/>
    <col min="8" max="8" width="19.26953125" customWidth="1"/>
    <col min="9" max="9" width="11.453125" customWidth="1"/>
    <col min="10" max="10" width="13" customWidth="1"/>
    <col min="11" max="11" width="15.7265625" customWidth="1"/>
    <col min="12" max="12" width="11.90625" customWidth="1"/>
    <col min="13" max="74" width="13" customWidth="1"/>
    <col min="75" max="75" width="15" customWidth="1"/>
  </cols>
  <sheetData>
    <row r="1" spans="1:75" ht="3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 spans="1:75" ht="23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4" t="s">
        <v>13</v>
      </c>
      <c r="AB2" s="5"/>
      <c r="AC2" s="5"/>
      <c r="AD2" s="5"/>
      <c r="AE2" s="4" t="s">
        <v>14</v>
      </c>
      <c r="AF2" s="5"/>
      <c r="AG2" s="5"/>
      <c r="AH2" s="5"/>
      <c r="AI2" s="5"/>
      <c r="AJ2" s="4" t="s">
        <v>15</v>
      </c>
      <c r="AK2" s="5"/>
      <c r="AL2" s="5"/>
      <c r="AM2" s="4" t="s">
        <v>16</v>
      </c>
      <c r="AN2" s="5"/>
      <c r="AO2" s="5"/>
      <c r="AP2" s="5"/>
      <c r="AQ2" s="5"/>
      <c r="AR2" s="4" t="s">
        <v>17</v>
      </c>
      <c r="AS2" s="5"/>
      <c r="AT2" s="5"/>
      <c r="AU2" s="5"/>
      <c r="AV2" s="4" t="s">
        <v>18</v>
      </c>
      <c r="AW2" s="5"/>
      <c r="AX2" s="4" t="s">
        <v>19</v>
      </c>
      <c r="AY2" s="5"/>
      <c r="AZ2" s="5"/>
      <c r="BA2" s="5"/>
      <c r="BB2" s="5"/>
      <c r="BC2" s="5"/>
      <c r="BD2" s="4" t="s">
        <v>20</v>
      </c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6" t="s">
        <v>21</v>
      </c>
    </row>
    <row r="3" spans="1:75" ht="119" customHeight="1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 t="s">
        <v>28</v>
      </c>
      <c r="S3" s="6" t="s">
        <v>29</v>
      </c>
      <c r="T3" s="6" t="s">
        <v>30</v>
      </c>
      <c r="U3" s="6" t="s">
        <v>31</v>
      </c>
      <c r="V3" s="6" t="s">
        <v>32</v>
      </c>
      <c r="W3" s="6" t="s">
        <v>33</v>
      </c>
      <c r="X3" s="6" t="s">
        <v>34</v>
      </c>
      <c r="Y3" s="6" t="s">
        <v>35</v>
      </c>
      <c r="Z3" s="6" t="s">
        <v>36</v>
      </c>
      <c r="AA3" s="6" t="s">
        <v>37</v>
      </c>
      <c r="AB3" s="6" t="s">
        <v>38</v>
      </c>
      <c r="AC3" s="6" t="s">
        <v>39</v>
      </c>
      <c r="AD3" s="6" t="s">
        <v>40</v>
      </c>
      <c r="AE3" s="6" t="s">
        <v>41</v>
      </c>
      <c r="AF3" s="6" t="s">
        <v>42</v>
      </c>
      <c r="AG3" s="6" t="s">
        <v>43</v>
      </c>
      <c r="AH3" s="6" t="s">
        <v>44</v>
      </c>
      <c r="AI3" s="6" t="s">
        <v>45</v>
      </c>
      <c r="AJ3" s="6" t="s">
        <v>46</v>
      </c>
      <c r="AK3" s="6" t="s">
        <v>47</v>
      </c>
      <c r="AL3" s="6" t="s">
        <v>48</v>
      </c>
      <c r="AM3" s="6" t="s">
        <v>49</v>
      </c>
      <c r="AN3" s="6" t="s">
        <v>50</v>
      </c>
      <c r="AO3" s="6" t="s">
        <v>51</v>
      </c>
      <c r="AP3" s="6" t="s">
        <v>52</v>
      </c>
      <c r="AQ3" s="6" t="s">
        <v>53</v>
      </c>
      <c r="AR3" s="6" t="s">
        <v>54</v>
      </c>
      <c r="AS3" s="6" t="s">
        <v>55</v>
      </c>
      <c r="AT3" s="6" t="s">
        <v>56</v>
      </c>
      <c r="AU3" s="6" t="s">
        <v>57</v>
      </c>
      <c r="AV3" s="6" t="s">
        <v>58</v>
      </c>
      <c r="AW3" s="6" t="s">
        <v>59</v>
      </c>
      <c r="AX3" s="6" t="s">
        <v>60</v>
      </c>
      <c r="AY3" s="6" t="s">
        <v>61</v>
      </c>
      <c r="AZ3" s="6" t="s">
        <v>62</v>
      </c>
      <c r="BA3" s="6" t="s">
        <v>63</v>
      </c>
      <c r="BB3" s="6" t="s">
        <v>64</v>
      </c>
      <c r="BC3" s="6" t="s">
        <v>65</v>
      </c>
      <c r="BD3" s="6" t="s">
        <v>66</v>
      </c>
      <c r="BE3" s="6" t="s">
        <v>67</v>
      </c>
      <c r="BF3" s="6" t="s">
        <v>68</v>
      </c>
      <c r="BG3" s="6" t="s">
        <v>69</v>
      </c>
      <c r="BH3" s="6" t="s">
        <v>70</v>
      </c>
      <c r="BI3" s="6" t="s">
        <v>71</v>
      </c>
      <c r="BJ3" s="6" t="s">
        <v>72</v>
      </c>
      <c r="BK3" s="6" t="s">
        <v>73</v>
      </c>
      <c r="BL3" s="6" t="s">
        <v>74</v>
      </c>
      <c r="BM3" s="6" t="s">
        <v>75</v>
      </c>
      <c r="BN3" s="6" t="s">
        <v>76</v>
      </c>
      <c r="BO3" s="6" t="s">
        <v>77</v>
      </c>
      <c r="BP3" s="6" t="s">
        <v>78</v>
      </c>
      <c r="BQ3" s="6" t="s">
        <v>79</v>
      </c>
      <c r="BR3" s="6" t="s">
        <v>80</v>
      </c>
      <c r="BS3" s="6" t="s">
        <v>81</v>
      </c>
      <c r="BT3" s="6" t="s">
        <v>82</v>
      </c>
      <c r="BU3" s="6" t="s">
        <v>83</v>
      </c>
      <c r="BV3" s="6" t="s">
        <v>84</v>
      </c>
      <c r="BW3" s="6" t="s">
        <v>85</v>
      </c>
    </row>
    <row r="4" spans="1:75" ht="26">
      <c r="A4" s="8">
        <v>46234</v>
      </c>
      <c r="B4" s="9" t="s">
        <v>86</v>
      </c>
      <c r="C4" s="9" t="s">
        <v>87</v>
      </c>
      <c r="D4" s="9" t="s">
        <v>88</v>
      </c>
      <c r="E4" s="9" t="s">
        <v>89</v>
      </c>
      <c r="F4" s="9"/>
      <c r="G4" s="9">
        <v>2016</v>
      </c>
      <c r="H4" s="9">
        <f>I4+J4</f>
        <v>326</v>
      </c>
      <c r="I4" s="9">
        <v>320</v>
      </c>
      <c r="J4" s="9">
        <f>SUM(L4:BW4)</f>
        <v>6</v>
      </c>
      <c r="K4" s="10">
        <f>J4/H4</f>
        <v>1.8404907975460124E-2</v>
      </c>
      <c r="L4" s="11"/>
      <c r="M4" s="11"/>
      <c r="N4" s="11"/>
      <c r="O4" s="9">
        <v>6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</row>
    <row r="5" spans="1:75" ht="26">
      <c r="A5" s="8">
        <v>46234</v>
      </c>
      <c r="B5" s="9" t="s">
        <v>86</v>
      </c>
      <c r="C5" s="9" t="s">
        <v>87</v>
      </c>
      <c r="D5" s="9" t="s">
        <v>90</v>
      </c>
      <c r="E5" s="9" t="s">
        <v>91</v>
      </c>
      <c r="F5" s="9"/>
      <c r="G5" s="9">
        <v>1800</v>
      </c>
      <c r="H5" s="9">
        <f>I5+J5</f>
        <v>34</v>
      </c>
      <c r="I5" s="9">
        <v>33</v>
      </c>
      <c r="J5" s="9">
        <f>SUM(L5:BW5)</f>
        <v>1</v>
      </c>
      <c r="K5" s="10">
        <f>J5/H5</f>
        <v>2.9411764705882353E-2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9">
        <v>1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</row>
    <row r="6" spans="1:75" ht="26">
      <c r="A6" s="8">
        <v>46234</v>
      </c>
      <c r="B6" s="9" t="s">
        <v>86</v>
      </c>
      <c r="C6" s="9" t="s">
        <v>87</v>
      </c>
      <c r="D6" s="9" t="s">
        <v>92</v>
      </c>
      <c r="E6" s="9" t="s">
        <v>93</v>
      </c>
      <c r="F6" s="9"/>
      <c r="G6" s="9">
        <v>1500</v>
      </c>
      <c r="H6" s="9">
        <f>I6+J6</f>
        <v>16</v>
      </c>
      <c r="I6" s="9">
        <v>15</v>
      </c>
      <c r="J6" s="9">
        <f>SUM(L6:BW6)</f>
        <v>1</v>
      </c>
      <c r="K6" s="10">
        <f>J6/H6</f>
        <v>6.25E-2</v>
      </c>
      <c r="L6" s="11"/>
      <c r="M6" s="11"/>
      <c r="N6" s="11"/>
      <c r="O6" s="11"/>
      <c r="P6" s="9">
        <v>1</v>
      </c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</row>
    <row r="7" spans="1:75" ht="26">
      <c r="A7" s="8">
        <v>46234</v>
      </c>
      <c r="B7" s="9" t="s">
        <v>94</v>
      </c>
      <c r="C7" s="9" t="s">
        <v>95</v>
      </c>
      <c r="D7" s="9" t="s">
        <v>96</v>
      </c>
      <c r="E7" s="9" t="s">
        <v>97</v>
      </c>
      <c r="F7" s="9"/>
      <c r="G7" s="9">
        <v>1500</v>
      </c>
      <c r="H7" s="9">
        <f>I7+J7</f>
        <v>453</v>
      </c>
      <c r="I7" s="9">
        <v>445</v>
      </c>
      <c r="J7" s="9">
        <f>SUM(L7:BW7)</f>
        <v>8</v>
      </c>
      <c r="K7" s="10">
        <f>J7/H7</f>
        <v>1.7660044150110375E-2</v>
      </c>
      <c r="L7" s="11"/>
      <c r="M7" s="11"/>
      <c r="N7" s="9">
        <v>2</v>
      </c>
      <c r="O7" s="11"/>
      <c r="P7" s="11"/>
      <c r="Q7" s="11"/>
      <c r="R7" s="11"/>
      <c r="S7" s="11"/>
      <c r="T7" s="11"/>
      <c r="U7" s="9">
        <v>2</v>
      </c>
      <c r="V7" s="9">
        <v>1</v>
      </c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9">
        <v>3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</row>
    <row r="8" spans="1:75" ht="26">
      <c r="A8" s="8">
        <v>46234</v>
      </c>
      <c r="B8" s="9" t="s">
        <v>98</v>
      </c>
      <c r="C8" s="9" t="s">
        <v>99</v>
      </c>
      <c r="D8" s="9" t="s">
        <v>100</v>
      </c>
      <c r="E8" s="9" t="s">
        <v>101</v>
      </c>
      <c r="F8" s="9"/>
      <c r="G8" s="9">
        <v>2100</v>
      </c>
      <c r="H8" s="9">
        <f>I8+J8</f>
        <v>648</v>
      </c>
      <c r="I8" s="9">
        <v>620</v>
      </c>
      <c r="J8" s="9">
        <f>SUM(L8:BW8)</f>
        <v>28</v>
      </c>
      <c r="K8" s="10">
        <f>J8/H8</f>
        <v>4.3209876543209874E-2</v>
      </c>
      <c r="L8" s="11"/>
      <c r="M8" s="11"/>
      <c r="N8" s="11"/>
      <c r="O8" s="11"/>
      <c r="P8" s="11"/>
      <c r="Q8" s="11"/>
      <c r="R8" s="9">
        <v>6</v>
      </c>
      <c r="S8" s="11"/>
      <c r="T8" s="11"/>
      <c r="U8" s="11"/>
      <c r="V8" s="11"/>
      <c r="W8" s="11"/>
      <c r="X8" s="11"/>
      <c r="Y8" s="11"/>
      <c r="Z8" s="11"/>
      <c r="AA8" s="9">
        <v>3</v>
      </c>
      <c r="AB8" s="11"/>
      <c r="AC8" s="11"/>
      <c r="AD8" s="11"/>
      <c r="AE8" s="9">
        <v>8</v>
      </c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9">
        <v>3</v>
      </c>
      <c r="AU8" s="11"/>
      <c r="AV8" s="11"/>
      <c r="AW8" s="11"/>
      <c r="AX8" s="9">
        <v>2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9">
        <v>6</v>
      </c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</row>
    <row r="9" spans="1:75">
      <c r="A9" s="8">
        <v>46234</v>
      </c>
      <c r="B9" s="9" t="s">
        <v>102</v>
      </c>
      <c r="C9" s="9" t="s">
        <v>103</v>
      </c>
      <c r="D9" s="9" t="s">
        <v>104</v>
      </c>
      <c r="E9" s="9" t="s">
        <v>105</v>
      </c>
      <c r="F9" s="9"/>
      <c r="G9" s="9">
        <v>1000</v>
      </c>
      <c r="H9" s="9">
        <f>I9+J9</f>
        <v>6</v>
      </c>
      <c r="I9" s="9">
        <v>5</v>
      </c>
      <c r="J9" s="9">
        <f>SUM(L9:BW9)</f>
        <v>1</v>
      </c>
      <c r="K9" s="10">
        <f>J9/H9</f>
        <v>0.16666666666666666</v>
      </c>
      <c r="L9" s="11"/>
      <c r="M9" s="11"/>
      <c r="N9" s="11"/>
      <c r="O9" s="11"/>
      <c r="P9" s="11"/>
      <c r="Q9" s="11"/>
      <c r="R9" s="11"/>
      <c r="S9" s="11"/>
      <c r="T9" s="9">
        <v>1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</row>
    <row r="10" spans="1:75">
      <c r="A10" s="8">
        <v>46234</v>
      </c>
      <c r="B10" s="9" t="s">
        <v>106</v>
      </c>
      <c r="C10" s="9" t="s">
        <v>107</v>
      </c>
      <c r="D10" s="9" t="s">
        <v>108</v>
      </c>
      <c r="E10" s="9" t="s">
        <v>109</v>
      </c>
      <c r="F10" s="9"/>
      <c r="G10" s="9">
        <v>6000</v>
      </c>
      <c r="H10" s="9">
        <f>I10+J10</f>
        <v>609</v>
      </c>
      <c r="I10" s="9">
        <v>600</v>
      </c>
      <c r="J10" s="9">
        <f>SUM(L10:BW10)</f>
        <v>9</v>
      </c>
      <c r="K10" s="10">
        <f>J10/H10</f>
        <v>1.4778325123152709E-2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9">
        <v>2</v>
      </c>
      <c r="Y10" s="11"/>
      <c r="Z10" s="9">
        <v>3</v>
      </c>
      <c r="AA10" s="11"/>
      <c r="AB10" s="11"/>
      <c r="AC10" s="9">
        <v>1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9">
        <v>3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</row>
    <row r="11" spans="1:75">
      <c r="A11" s="8">
        <v>46234</v>
      </c>
      <c r="B11" s="9" t="s">
        <v>110</v>
      </c>
      <c r="C11" s="9" t="s">
        <v>111</v>
      </c>
      <c r="D11" s="9" t="s">
        <v>108</v>
      </c>
      <c r="E11" s="9" t="s">
        <v>109</v>
      </c>
      <c r="F11" s="9"/>
      <c r="G11" s="9">
        <v>6000</v>
      </c>
      <c r="H11" s="9">
        <f>I11+J11</f>
        <v>676</v>
      </c>
      <c r="I11" s="9">
        <v>650</v>
      </c>
      <c r="J11" s="9">
        <f>SUM(L11:BW11)</f>
        <v>26</v>
      </c>
      <c r="K11" s="10">
        <f>J11/H11</f>
        <v>3.8461538461538464E-2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9">
        <v>12</v>
      </c>
      <c r="Y11" s="9">
        <v>5</v>
      </c>
      <c r="Z11" s="9">
        <v>2</v>
      </c>
      <c r="AA11" s="11"/>
      <c r="AB11" s="9">
        <v>2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9">
        <v>1</v>
      </c>
      <c r="AV11" s="11"/>
      <c r="AW11" s="9">
        <v>1</v>
      </c>
      <c r="AX11" s="11"/>
      <c r="AY11" s="11"/>
      <c r="AZ11" s="9">
        <v>3</v>
      </c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</row>
    <row r="12" spans="1:75">
      <c r="A12" s="8">
        <v>46234</v>
      </c>
      <c r="B12" s="9" t="s">
        <v>112</v>
      </c>
      <c r="C12" s="9" t="s">
        <v>113</v>
      </c>
      <c r="D12" s="9" t="s">
        <v>114</v>
      </c>
      <c r="E12" s="9" t="s">
        <v>115</v>
      </c>
      <c r="F12" s="9"/>
      <c r="G12" s="9">
        <v>2000</v>
      </c>
      <c r="H12" s="9">
        <f>I12+J12</f>
        <v>508</v>
      </c>
      <c r="I12" s="9">
        <v>492</v>
      </c>
      <c r="J12" s="9">
        <f>SUM(L12:BW12)</f>
        <v>16</v>
      </c>
      <c r="K12" s="10">
        <f>J12/H12</f>
        <v>3.1496062992125984E-2</v>
      </c>
      <c r="L12" s="11"/>
      <c r="M12" s="11"/>
      <c r="N12" s="11"/>
      <c r="O12" s="9">
        <v>2</v>
      </c>
      <c r="P12" s="11"/>
      <c r="Q12" s="11"/>
      <c r="R12" s="11"/>
      <c r="S12" s="9">
        <v>5</v>
      </c>
      <c r="T12" s="11"/>
      <c r="U12" s="11"/>
      <c r="V12" s="9">
        <v>3</v>
      </c>
      <c r="W12" s="11"/>
      <c r="X12" s="11"/>
      <c r="Y12" s="11"/>
      <c r="Z12" s="11"/>
      <c r="AA12" s="11"/>
      <c r="AB12" s="11"/>
      <c r="AC12" s="11"/>
      <c r="AD12" s="9">
        <v>6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</row>
    <row r="13" spans="1:75">
      <c r="A13" s="8">
        <v>46234</v>
      </c>
      <c r="B13" s="9" t="s">
        <v>116</v>
      </c>
      <c r="C13" s="9"/>
      <c r="D13" s="9" t="s">
        <v>117</v>
      </c>
      <c r="E13" s="9" t="s">
        <v>118</v>
      </c>
      <c r="F13" s="9"/>
      <c r="G13" s="9">
        <v>3000</v>
      </c>
      <c r="H13" s="9">
        <f>I13+J13</f>
        <v>423</v>
      </c>
      <c r="I13" s="9">
        <v>406</v>
      </c>
      <c r="J13" s="9">
        <f>SUM(L13:BW13)</f>
        <v>17</v>
      </c>
      <c r="K13" s="10">
        <f>J13/H13</f>
        <v>4.0189125295508277E-2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9">
        <v>2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9">
        <v>1</v>
      </c>
      <c r="AY13" s="11"/>
      <c r="AZ13" s="11"/>
      <c r="BA13" s="11"/>
      <c r="BB13" s="11"/>
      <c r="BC13" s="11"/>
      <c r="BD13" s="11"/>
      <c r="BE13" s="9">
        <v>4</v>
      </c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9">
        <v>10</v>
      </c>
      <c r="BT13" s="11"/>
      <c r="BU13" s="11"/>
      <c r="BV13" s="11"/>
      <c r="BW13" s="11"/>
    </row>
    <row r="14" spans="1:75">
      <c r="A14" s="8">
        <v>46234</v>
      </c>
      <c r="B14" s="9" t="s">
        <v>116</v>
      </c>
      <c r="C14" s="9"/>
      <c r="D14" s="9" t="s">
        <v>119</v>
      </c>
      <c r="E14" s="9" t="s">
        <v>120</v>
      </c>
      <c r="F14" s="9"/>
      <c r="G14" s="9">
        <v>2500</v>
      </c>
      <c r="H14" s="9">
        <f>I14+J14</f>
        <v>121</v>
      </c>
      <c r="I14" s="9">
        <v>120</v>
      </c>
      <c r="J14" s="9">
        <f>SUM(L14:BW14)</f>
        <v>1</v>
      </c>
      <c r="K14" s="10">
        <f>J14/H14</f>
        <v>8.2644628099173556E-3</v>
      </c>
      <c r="L14" s="11"/>
      <c r="M14" s="11"/>
      <c r="N14" s="11"/>
      <c r="O14" s="9">
        <v>1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</row>
    <row r="15" spans="1:75">
      <c r="A15" s="8">
        <v>46234</v>
      </c>
      <c r="B15" s="9" t="s">
        <v>121</v>
      </c>
      <c r="C15" s="9"/>
      <c r="D15" s="9" t="s">
        <v>122</v>
      </c>
      <c r="E15" s="9" t="s">
        <v>123</v>
      </c>
      <c r="F15" s="9"/>
      <c r="G15" s="9">
        <v>5000</v>
      </c>
      <c r="H15" s="9">
        <f>I15+J15</f>
        <v>214</v>
      </c>
      <c r="I15" s="9">
        <v>205</v>
      </c>
      <c r="J15" s="9">
        <f>SUM(L15:BW15)</f>
        <v>9</v>
      </c>
      <c r="K15" s="10">
        <f>J15/H15</f>
        <v>4.2056074766355138E-2</v>
      </c>
      <c r="L15" s="9">
        <v>1</v>
      </c>
      <c r="M15" s="11"/>
      <c r="N15" s="11"/>
      <c r="O15" s="11"/>
      <c r="P15" s="11"/>
      <c r="Q15" s="9">
        <v>1</v>
      </c>
      <c r="R15" s="11"/>
      <c r="S15" s="11"/>
      <c r="T15" s="11"/>
      <c r="U15" s="11"/>
      <c r="V15" s="11"/>
      <c r="W15" s="9">
        <v>2</v>
      </c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9">
        <v>5</v>
      </c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</row>
    <row r="16" spans="1:75">
      <c r="A16" s="8">
        <v>46234</v>
      </c>
      <c r="B16" s="9" t="s">
        <v>124</v>
      </c>
      <c r="C16" s="9"/>
      <c r="D16" s="9" t="s">
        <v>125</v>
      </c>
      <c r="E16" s="9" t="s">
        <v>126</v>
      </c>
      <c r="F16" s="9"/>
      <c r="G16" s="9">
        <v>1000</v>
      </c>
      <c r="H16" s="9">
        <f>I16+J16</f>
        <v>9</v>
      </c>
      <c r="I16" s="9">
        <v>8</v>
      </c>
      <c r="J16" s="9">
        <f>SUM(L16:BW16)</f>
        <v>1</v>
      </c>
      <c r="K16" s="10">
        <f>J16/H16</f>
        <v>0.1111111111111111</v>
      </c>
      <c r="L16" s="11"/>
      <c r="M16" s="11"/>
      <c r="N16" s="11"/>
      <c r="O16" s="11"/>
      <c r="P16" s="11"/>
      <c r="Q16" s="11"/>
      <c r="R16" s="11"/>
      <c r="S16" s="9">
        <v>1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</row>
    <row r="17" spans="1:75">
      <c r="A17" s="8">
        <v>46234</v>
      </c>
      <c r="B17" s="9" t="s">
        <v>124</v>
      </c>
      <c r="C17" s="9"/>
      <c r="D17" s="9" t="s">
        <v>127</v>
      </c>
      <c r="E17" s="9" t="s">
        <v>128</v>
      </c>
      <c r="F17" s="9"/>
      <c r="G17" s="9">
        <v>1000</v>
      </c>
      <c r="H17" s="9">
        <f>I17+J17</f>
        <v>181</v>
      </c>
      <c r="I17" s="9">
        <v>174</v>
      </c>
      <c r="J17" s="9">
        <f>SUM(L17:BW17)</f>
        <v>7</v>
      </c>
      <c r="K17" s="10">
        <f>J17/H17</f>
        <v>3.8674033149171269E-2</v>
      </c>
      <c r="L17" s="11"/>
      <c r="M17" s="11"/>
      <c r="N17" s="11"/>
      <c r="O17" s="9">
        <v>1</v>
      </c>
      <c r="P17" s="11"/>
      <c r="Q17" s="11"/>
      <c r="R17" s="9">
        <v>3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9">
        <v>3</v>
      </c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</row>
    <row r="18" spans="1:75">
      <c r="A18" s="8">
        <v>46234</v>
      </c>
      <c r="B18" s="9" t="s">
        <v>129</v>
      </c>
      <c r="C18" s="9" t="s">
        <v>130</v>
      </c>
      <c r="D18" s="9" t="s">
        <v>131</v>
      </c>
      <c r="E18" s="9" t="s">
        <v>132</v>
      </c>
      <c r="F18" s="9"/>
      <c r="G18" s="9">
        <v>2000</v>
      </c>
      <c r="H18" s="9">
        <f>I18+J18</f>
        <v>142</v>
      </c>
      <c r="I18" s="9">
        <v>136</v>
      </c>
      <c r="J18" s="9">
        <f>SUM(L18:BW18)</f>
        <v>6</v>
      </c>
      <c r="K18" s="10">
        <f>J18/H18</f>
        <v>4.2253521126760563E-2</v>
      </c>
      <c r="L18" s="9">
        <v>1</v>
      </c>
      <c r="M18" s="11"/>
      <c r="N18" s="11"/>
      <c r="O18" s="11"/>
      <c r="P18" s="11"/>
      <c r="Q18" s="11"/>
      <c r="R18" s="11"/>
      <c r="S18" s="11"/>
      <c r="T18" s="11"/>
      <c r="U18" s="9">
        <v>1</v>
      </c>
      <c r="V18" s="9">
        <v>4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</row>
    <row r="19" spans="1:75">
      <c r="A19" s="8">
        <v>46234</v>
      </c>
      <c r="B19" s="9" t="s">
        <v>133</v>
      </c>
      <c r="C19" s="9" t="s">
        <v>134</v>
      </c>
      <c r="D19" s="9" t="s">
        <v>135</v>
      </c>
      <c r="E19" s="9" t="s">
        <v>136</v>
      </c>
      <c r="F19" s="9"/>
      <c r="G19" s="9">
        <v>9500</v>
      </c>
      <c r="H19" s="9">
        <f>I19+J19</f>
        <v>697</v>
      </c>
      <c r="I19" s="9">
        <v>665</v>
      </c>
      <c r="J19" s="9">
        <f>SUM(L19:BW19)</f>
        <v>32</v>
      </c>
      <c r="K19" s="10">
        <f>J19/H19</f>
        <v>4.5911047345767578E-2</v>
      </c>
      <c r="L19" s="11"/>
      <c r="M19" s="9">
        <v>5</v>
      </c>
      <c r="N19" s="9">
        <v>12</v>
      </c>
      <c r="O19" s="11"/>
      <c r="P19" s="11"/>
      <c r="Q19" s="11"/>
      <c r="R19" s="9">
        <v>5</v>
      </c>
      <c r="S19" s="11"/>
      <c r="T19" s="11"/>
      <c r="U19" s="11"/>
      <c r="V19" s="11"/>
      <c r="W19" s="9">
        <v>1</v>
      </c>
      <c r="X19" s="11"/>
      <c r="Y19" s="11"/>
      <c r="Z19" s="9">
        <v>1</v>
      </c>
      <c r="AA19" s="11"/>
      <c r="AB19" s="11"/>
      <c r="AC19" s="11"/>
      <c r="AD19" s="11"/>
      <c r="AE19" s="9">
        <v>3</v>
      </c>
      <c r="AF19" s="11"/>
      <c r="AG19" s="11"/>
      <c r="AH19" s="9">
        <v>1</v>
      </c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9">
        <v>1</v>
      </c>
      <c r="AU19" s="11"/>
      <c r="AV19" s="11"/>
      <c r="AW19" s="11"/>
      <c r="AX19" s="11"/>
      <c r="AY19" s="11"/>
      <c r="AZ19" s="11"/>
      <c r="BA19" s="11"/>
      <c r="BB19" s="11"/>
      <c r="BC19" s="9">
        <v>3</v>
      </c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</row>
    <row r="20" spans="1:75">
      <c r="A20" s="8">
        <v>46234</v>
      </c>
      <c r="B20" s="9" t="s">
        <v>137</v>
      </c>
      <c r="C20" s="9"/>
      <c r="D20" s="9" t="s">
        <v>135</v>
      </c>
      <c r="E20" s="9" t="s">
        <v>136</v>
      </c>
      <c r="F20" s="9"/>
      <c r="G20" s="9">
        <v>9500</v>
      </c>
      <c r="H20" s="9">
        <f>I20+J20</f>
        <v>661</v>
      </c>
      <c r="I20" s="9">
        <v>631</v>
      </c>
      <c r="J20" s="9">
        <f>SUM(L20:BW20)</f>
        <v>30</v>
      </c>
      <c r="K20" s="10">
        <f>J20/H20</f>
        <v>4.5385779122541603E-2</v>
      </c>
      <c r="L20" s="11"/>
      <c r="M20" s="11"/>
      <c r="N20" s="9">
        <v>5</v>
      </c>
      <c r="O20" s="11"/>
      <c r="P20" s="11"/>
      <c r="Q20" s="11"/>
      <c r="R20" s="11"/>
      <c r="S20" s="11"/>
      <c r="T20" s="9">
        <v>8</v>
      </c>
      <c r="U20" s="9">
        <v>9</v>
      </c>
      <c r="V20" s="11"/>
      <c r="W20" s="11"/>
      <c r="X20" s="11"/>
      <c r="Y20" s="11"/>
      <c r="Z20" s="11"/>
      <c r="AA20" s="11"/>
      <c r="AB20" s="11"/>
      <c r="AC20" s="9">
        <v>8</v>
      </c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</row>
    <row r="21" spans="1:75">
      <c r="A21" s="8">
        <v>46234</v>
      </c>
      <c r="B21" s="9" t="s">
        <v>138</v>
      </c>
      <c r="C21" s="9" t="s">
        <v>139</v>
      </c>
      <c r="D21" s="9" t="s">
        <v>140</v>
      </c>
      <c r="E21" s="9" t="s">
        <v>141</v>
      </c>
      <c r="F21" s="9"/>
      <c r="G21" s="9">
        <v>2000</v>
      </c>
      <c r="H21" s="9">
        <f>I21+J21</f>
        <v>450</v>
      </c>
      <c r="I21" s="9">
        <v>440</v>
      </c>
      <c r="J21" s="9">
        <f>SUM(L21:BW21)</f>
        <v>10</v>
      </c>
      <c r="K21" s="10">
        <f>J21/H21</f>
        <v>2.2222222222222223E-2</v>
      </c>
      <c r="L21" s="11"/>
      <c r="M21" s="9">
        <v>2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9">
        <v>4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9">
        <v>4</v>
      </c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</row>
    <row r="22" spans="1:75">
      <c r="A22" s="8">
        <v>46234</v>
      </c>
      <c r="B22" s="9" t="s">
        <v>129</v>
      </c>
      <c r="C22" s="9" t="s">
        <v>130</v>
      </c>
      <c r="D22" s="9" t="s">
        <v>142</v>
      </c>
      <c r="E22" s="9" t="s">
        <v>143</v>
      </c>
      <c r="F22" s="9"/>
      <c r="G22" s="9">
        <v>1500</v>
      </c>
      <c r="H22" s="9">
        <f>I22+J22</f>
        <v>384</v>
      </c>
      <c r="I22" s="9">
        <v>379</v>
      </c>
      <c r="J22" s="9">
        <f>SUM(L22:BW22)</f>
        <v>5</v>
      </c>
      <c r="K22" s="10">
        <f>J22/H22</f>
        <v>1.3020833333333334E-2</v>
      </c>
      <c r="L22" s="11"/>
      <c r="M22" s="11"/>
      <c r="N22" s="11"/>
      <c r="O22" s="9">
        <v>2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9">
        <v>3</v>
      </c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</row>
    <row r="23" spans="1:75">
      <c r="A23" s="8">
        <v>46234</v>
      </c>
      <c r="B23" s="9" t="s">
        <v>144</v>
      </c>
      <c r="C23" s="9" t="s">
        <v>145</v>
      </c>
      <c r="D23" s="9" t="s">
        <v>142</v>
      </c>
      <c r="E23" s="9" t="s">
        <v>143</v>
      </c>
      <c r="F23" s="9"/>
      <c r="G23" s="9">
        <v>1500</v>
      </c>
      <c r="H23" s="9">
        <f>I23+J23</f>
        <v>458</v>
      </c>
      <c r="I23" s="9">
        <v>450</v>
      </c>
      <c r="J23" s="9">
        <f>SUM(L23:BW23)</f>
        <v>8</v>
      </c>
      <c r="K23" s="10">
        <f>J23/H23</f>
        <v>1.7467248908296942E-2</v>
      </c>
      <c r="L23" s="11"/>
      <c r="M23" s="11"/>
      <c r="N23" s="11"/>
      <c r="O23" s="11"/>
      <c r="P23" s="11"/>
      <c r="Q23" s="9">
        <v>2</v>
      </c>
      <c r="R23" s="11"/>
      <c r="S23" s="11"/>
      <c r="T23" s="9">
        <v>1</v>
      </c>
      <c r="U23" s="9">
        <v>1</v>
      </c>
      <c r="V23" s="11"/>
      <c r="W23" s="11"/>
      <c r="X23" s="11"/>
      <c r="Y23" s="9">
        <v>1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9">
        <v>3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</row>
    <row r="24" spans="1:75" ht="26">
      <c r="A24" s="8">
        <v>46234</v>
      </c>
      <c r="B24" s="9" t="s">
        <v>146</v>
      </c>
      <c r="C24" s="9" t="s">
        <v>147</v>
      </c>
      <c r="D24" s="9" t="s">
        <v>148</v>
      </c>
      <c r="E24" s="9" t="s">
        <v>149</v>
      </c>
      <c r="F24" s="9"/>
      <c r="G24" s="9">
        <v>4500</v>
      </c>
      <c r="H24" s="9">
        <f>I24+J24</f>
        <v>553</v>
      </c>
      <c r="I24" s="9">
        <v>540</v>
      </c>
      <c r="J24" s="9">
        <f>SUM(L24:BW24)</f>
        <v>13</v>
      </c>
      <c r="K24" s="10">
        <f>J24/H24</f>
        <v>2.3508137432188065E-2</v>
      </c>
      <c r="L24" s="9">
        <v>3</v>
      </c>
      <c r="M24" s="11"/>
      <c r="N24" s="11"/>
      <c r="O24" s="11"/>
      <c r="P24" s="11"/>
      <c r="Q24" s="11"/>
      <c r="R24" s="11"/>
      <c r="S24" s="11"/>
      <c r="T24" s="9">
        <v>3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9">
        <v>3</v>
      </c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9">
        <v>1</v>
      </c>
      <c r="AZ24" s="11"/>
      <c r="BA24" s="11"/>
      <c r="BB24" s="11"/>
      <c r="BC24" s="11"/>
      <c r="BD24" s="11"/>
      <c r="BE24" s="11"/>
      <c r="BF24" s="9">
        <v>3</v>
      </c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</row>
    <row r="25" spans="1:75">
      <c r="A25" s="8">
        <v>46234</v>
      </c>
      <c r="B25" s="9" t="s">
        <v>150</v>
      </c>
      <c r="C25" s="9" t="s">
        <v>151</v>
      </c>
      <c r="D25" s="9" t="s">
        <v>152</v>
      </c>
      <c r="E25" s="9" t="s">
        <v>153</v>
      </c>
      <c r="F25" s="9"/>
      <c r="G25" s="9">
        <v>1000</v>
      </c>
      <c r="H25" s="9">
        <f>I25+J25</f>
        <v>110</v>
      </c>
      <c r="I25" s="9">
        <v>105</v>
      </c>
      <c r="J25" s="9">
        <f>SUM(L25:BW25)</f>
        <v>5</v>
      </c>
      <c r="K25" s="10">
        <f>J25/H25</f>
        <v>4.5454545454545456E-2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9">
        <v>1</v>
      </c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9">
        <v>1</v>
      </c>
      <c r="AY25" s="11"/>
      <c r="AZ25" s="9">
        <v>3</v>
      </c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</row>
    <row r="26" spans="1:75">
      <c r="A26" s="8">
        <v>46234</v>
      </c>
      <c r="B26" s="9" t="s">
        <v>154</v>
      </c>
      <c r="C26" s="9" t="s">
        <v>155</v>
      </c>
      <c r="D26" s="9" t="s">
        <v>156</v>
      </c>
      <c r="E26" s="9" t="s">
        <v>157</v>
      </c>
      <c r="F26" s="9"/>
      <c r="G26" s="9">
        <v>1500</v>
      </c>
      <c r="H26" s="9">
        <f>I26+J26</f>
        <v>437</v>
      </c>
      <c r="I26" s="9">
        <v>420</v>
      </c>
      <c r="J26" s="9">
        <f>SUM(L26:BW26)</f>
        <v>17</v>
      </c>
      <c r="K26" s="10">
        <f>J26/H26</f>
        <v>3.8901601830663615E-2</v>
      </c>
      <c r="L26" s="11"/>
      <c r="M26" s="11"/>
      <c r="N26" s="11"/>
      <c r="O26" s="9">
        <v>1</v>
      </c>
      <c r="P26" s="11"/>
      <c r="Q26" s="11"/>
      <c r="R26" s="9">
        <v>4</v>
      </c>
      <c r="S26" s="9">
        <v>3</v>
      </c>
      <c r="T26" s="9">
        <v>2</v>
      </c>
      <c r="U26" s="9">
        <v>2</v>
      </c>
      <c r="V26" s="9">
        <v>1</v>
      </c>
      <c r="W26" s="9">
        <v>1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9">
        <v>3</v>
      </c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</row>
    <row r="27" spans="1:75">
      <c r="A27" s="8">
        <v>46234</v>
      </c>
      <c r="B27" s="9" t="s">
        <v>124</v>
      </c>
      <c r="C27" s="9"/>
      <c r="D27" s="9" t="s">
        <v>158</v>
      </c>
      <c r="E27" s="9" t="s">
        <v>159</v>
      </c>
      <c r="F27" s="9"/>
      <c r="G27" s="9">
        <v>1500</v>
      </c>
      <c r="H27" s="9">
        <f>I27+J27</f>
        <v>277</v>
      </c>
      <c r="I27" s="9">
        <v>265</v>
      </c>
      <c r="J27" s="9">
        <f>SUM(L27:BW27)</f>
        <v>12</v>
      </c>
      <c r="K27" s="10">
        <f>J27/H27</f>
        <v>4.3321299638989168E-2</v>
      </c>
      <c r="L27" s="9">
        <v>1</v>
      </c>
      <c r="M27" s="11"/>
      <c r="N27" s="11"/>
      <c r="O27" s="11"/>
      <c r="P27" s="9">
        <v>3</v>
      </c>
      <c r="Q27" s="11"/>
      <c r="R27" s="11"/>
      <c r="S27" s="11"/>
      <c r="T27" s="11"/>
      <c r="U27" s="11"/>
      <c r="V27" s="9">
        <v>1</v>
      </c>
      <c r="W27" s="11"/>
      <c r="X27" s="11"/>
      <c r="Y27" s="9">
        <v>1</v>
      </c>
      <c r="Z27" s="11"/>
      <c r="AA27" s="11"/>
      <c r="AB27" s="9">
        <v>1</v>
      </c>
      <c r="AC27" s="9">
        <v>2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9">
        <v>3</v>
      </c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</row>
    <row r="28" spans="1:75">
      <c r="A28" s="8">
        <v>46234</v>
      </c>
      <c r="B28" s="9" t="s">
        <v>121</v>
      </c>
      <c r="C28" s="9"/>
      <c r="D28" s="9" t="s">
        <v>158</v>
      </c>
      <c r="E28" s="9" t="s">
        <v>159</v>
      </c>
      <c r="F28" s="9"/>
      <c r="G28" s="9">
        <v>1500</v>
      </c>
      <c r="H28" s="9">
        <f>I28+J28</f>
        <v>456</v>
      </c>
      <c r="I28" s="9">
        <v>436</v>
      </c>
      <c r="J28" s="9">
        <f>SUM(L28:BW28)</f>
        <v>20</v>
      </c>
      <c r="K28" s="10">
        <f>J28/H28</f>
        <v>4.3859649122807015E-2</v>
      </c>
      <c r="L28" s="11"/>
      <c r="M28" s="11"/>
      <c r="N28" s="11"/>
      <c r="O28" s="11"/>
      <c r="P28" s="9">
        <v>2</v>
      </c>
      <c r="Q28" s="11"/>
      <c r="R28" s="9">
        <v>7</v>
      </c>
      <c r="S28" s="11"/>
      <c r="T28" s="9">
        <v>3</v>
      </c>
      <c r="U28" s="11"/>
      <c r="V28" s="9">
        <v>2</v>
      </c>
      <c r="W28" s="11"/>
      <c r="X28" s="11"/>
      <c r="Y28" s="9">
        <v>1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9">
        <v>1</v>
      </c>
      <c r="AU28" s="11"/>
      <c r="AV28" s="9">
        <v>4</v>
      </c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</row>
    <row r="29" spans="1:75">
      <c r="A29" s="8">
        <v>46234</v>
      </c>
      <c r="B29" s="9" t="s">
        <v>124</v>
      </c>
      <c r="C29" s="9"/>
      <c r="D29" s="9" t="s">
        <v>160</v>
      </c>
      <c r="E29" s="9" t="s">
        <v>161</v>
      </c>
      <c r="F29" s="9"/>
      <c r="G29" s="9">
        <v>2000</v>
      </c>
      <c r="H29" s="9">
        <f>I29+J29</f>
        <v>29</v>
      </c>
      <c r="I29" s="9">
        <v>28</v>
      </c>
      <c r="J29" s="9">
        <f>SUM(L29:BW29)</f>
        <v>1</v>
      </c>
      <c r="K29" s="10">
        <f>J29/H29</f>
        <v>3.4482758620689655E-2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9">
        <v>1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</row>
    <row r="30" spans="1:75">
      <c r="A30" s="8">
        <v>46234</v>
      </c>
      <c r="B30" s="9" t="s">
        <v>150</v>
      </c>
      <c r="C30" s="9" t="s">
        <v>151</v>
      </c>
      <c r="D30" s="9" t="s">
        <v>162</v>
      </c>
      <c r="E30" s="9" t="s">
        <v>163</v>
      </c>
      <c r="F30" s="9"/>
      <c r="G30" s="9">
        <v>1500</v>
      </c>
      <c r="H30" s="9">
        <f>I30+J30</f>
        <v>422</v>
      </c>
      <c r="I30" s="9">
        <v>415</v>
      </c>
      <c r="J30" s="9">
        <f>SUM(L30:BW30)</f>
        <v>7</v>
      </c>
      <c r="K30" s="10">
        <f>J30/H30</f>
        <v>1.6587677725118485E-2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9">
        <v>2</v>
      </c>
      <c r="W30" s="11"/>
      <c r="X30" s="11"/>
      <c r="Y30" s="11"/>
      <c r="Z30" s="9">
        <v>1</v>
      </c>
      <c r="AA30" s="11"/>
      <c r="AB30" s="9">
        <v>4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</row>
    <row r="31" spans="1:75">
      <c r="A31" s="8">
        <v>46234</v>
      </c>
      <c r="B31" s="9" t="s">
        <v>164</v>
      </c>
      <c r="C31" s="9" t="s">
        <v>165</v>
      </c>
      <c r="D31" s="9" t="s">
        <v>162</v>
      </c>
      <c r="E31" s="9" t="s">
        <v>163</v>
      </c>
      <c r="F31" s="9"/>
      <c r="G31" s="9">
        <v>1500</v>
      </c>
      <c r="H31" s="9">
        <f>I31+J31</f>
        <v>349</v>
      </c>
      <c r="I31" s="9">
        <v>335</v>
      </c>
      <c r="J31" s="9">
        <f>SUM(L31:BW31)</f>
        <v>14</v>
      </c>
      <c r="K31" s="10">
        <f>J31/H31</f>
        <v>4.0114613180515762E-2</v>
      </c>
      <c r="L31" s="11"/>
      <c r="M31" s="11"/>
      <c r="N31" s="11"/>
      <c r="O31" s="9">
        <v>4</v>
      </c>
      <c r="P31" s="11"/>
      <c r="Q31" s="11"/>
      <c r="R31" s="11"/>
      <c r="S31" s="11"/>
      <c r="T31" s="11"/>
      <c r="U31" s="11"/>
      <c r="V31" s="11"/>
      <c r="W31" s="9">
        <v>2</v>
      </c>
      <c r="X31" s="11"/>
      <c r="Y31" s="9">
        <v>1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9">
        <v>2</v>
      </c>
      <c r="AY31" s="11"/>
      <c r="AZ31" s="11"/>
      <c r="BA31" s="11"/>
      <c r="BB31" s="11"/>
      <c r="BC31" s="11"/>
      <c r="BD31" s="11"/>
      <c r="BE31" s="11"/>
      <c r="BF31" s="9">
        <v>1</v>
      </c>
      <c r="BG31" s="11"/>
      <c r="BH31" s="11"/>
      <c r="BI31" s="11"/>
      <c r="BJ31" s="9">
        <v>1</v>
      </c>
      <c r="BK31" s="11"/>
      <c r="BL31" s="11"/>
      <c r="BM31" s="11"/>
      <c r="BN31" s="9">
        <v>3</v>
      </c>
      <c r="BO31" s="11"/>
      <c r="BP31" s="11"/>
      <c r="BQ31" s="11"/>
      <c r="BR31" s="11"/>
      <c r="BS31" s="11"/>
      <c r="BT31" s="11"/>
      <c r="BU31" s="11"/>
      <c r="BV31" s="11"/>
      <c r="BW31" s="11"/>
    </row>
    <row r="32" spans="1:75">
      <c r="A32" s="8">
        <v>46234</v>
      </c>
      <c r="B32" s="9" t="s">
        <v>102</v>
      </c>
      <c r="C32" s="9" t="s">
        <v>103</v>
      </c>
      <c r="D32" s="9" t="s">
        <v>166</v>
      </c>
      <c r="E32" s="9" t="s">
        <v>167</v>
      </c>
      <c r="F32" s="9"/>
      <c r="G32" s="9">
        <v>1500</v>
      </c>
      <c r="H32" s="9">
        <f>I32+J32</f>
        <v>374</v>
      </c>
      <c r="I32" s="9">
        <v>357</v>
      </c>
      <c r="J32" s="9">
        <f>SUM(L32:BW32)</f>
        <v>17</v>
      </c>
      <c r="K32" s="10">
        <f>J32/H32</f>
        <v>4.5454545454545456E-2</v>
      </c>
      <c r="L32" s="9">
        <v>3</v>
      </c>
      <c r="M32" s="11"/>
      <c r="N32" s="11"/>
      <c r="O32" s="11"/>
      <c r="P32" s="11"/>
      <c r="Q32" s="9">
        <v>2</v>
      </c>
      <c r="R32" s="9">
        <v>1</v>
      </c>
      <c r="S32" s="11"/>
      <c r="T32" s="9">
        <v>4</v>
      </c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9">
        <v>2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9">
        <v>1</v>
      </c>
      <c r="AU32" s="11"/>
      <c r="AV32" s="11"/>
      <c r="AW32" s="11"/>
      <c r="AX32" s="9">
        <v>1</v>
      </c>
      <c r="AY32" s="11"/>
      <c r="AZ32" s="11"/>
      <c r="BA32" s="11"/>
      <c r="BB32" s="11"/>
      <c r="BC32" s="11"/>
      <c r="BD32" s="11"/>
      <c r="BE32" s="11"/>
      <c r="BF32" s="11"/>
      <c r="BG32" s="9">
        <v>3</v>
      </c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</row>
    <row r="33" spans="1:75">
      <c r="A33" s="8">
        <v>46234</v>
      </c>
      <c r="B33" s="9" t="s">
        <v>168</v>
      </c>
      <c r="C33" s="9" t="s">
        <v>169</v>
      </c>
      <c r="D33" s="9" t="s">
        <v>170</v>
      </c>
      <c r="E33" s="9" t="s">
        <v>171</v>
      </c>
      <c r="F33" s="9"/>
      <c r="G33" s="9">
        <v>800</v>
      </c>
      <c r="H33" s="9">
        <f>I33+J33</f>
        <v>106</v>
      </c>
      <c r="I33" s="9">
        <v>102</v>
      </c>
      <c r="J33" s="9">
        <f>SUM(L33:BW33)</f>
        <v>4</v>
      </c>
      <c r="K33" s="10">
        <f>J33/H33</f>
        <v>3.7735849056603772E-2</v>
      </c>
      <c r="L33" s="11"/>
      <c r="M33" s="9">
        <v>1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9">
        <v>1</v>
      </c>
      <c r="Y33" s="11"/>
      <c r="Z33" s="11"/>
      <c r="AA33" s="11"/>
      <c r="AB33" s="11"/>
      <c r="AC33" s="9">
        <v>1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9">
        <v>1</v>
      </c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</row>
    <row r="34" spans="1:75">
      <c r="A34" s="8">
        <v>46234</v>
      </c>
      <c r="B34" s="9" t="s">
        <v>172</v>
      </c>
      <c r="C34" s="9" t="s">
        <v>173</v>
      </c>
      <c r="D34" s="9" t="s">
        <v>174</v>
      </c>
      <c r="E34" s="9" t="s">
        <v>175</v>
      </c>
      <c r="F34" s="9"/>
      <c r="G34" s="9">
        <v>800</v>
      </c>
      <c r="H34" s="9">
        <f>I34+J34</f>
        <v>139</v>
      </c>
      <c r="I34" s="9">
        <v>137</v>
      </c>
      <c r="J34" s="9">
        <f>SUM(L34:BW34)</f>
        <v>2</v>
      </c>
      <c r="K34" s="10">
        <f>J34/H34</f>
        <v>1.4388489208633094E-2</v>
      </c>
      <c r="L34" s="11"/>
      <c r="M34" s="11"/>
      <c r="N34" s="11"/>
      <c r="O34" s="11"/>
      <c r="P34" s="11"/>
      <c r="Q34" s="11"/>
      <c r="R34" s="11"/>
      <c r="S34" s="11"/>
      <c r="T34" s="11"/>
      <c r="U34" s="9">
        <v>2</v>
      </c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</row>
    <row r="35" spans="1:75">
      <c r="A35" s="8">
        <v>46234</v>
      </c>
      <c r="B35" s="9" t="s">
        <v>168</v>
      </c>
      <c r="C35" s="9" t="s">
        <v>169</v>
      </c>
      <c r="D35" s="9" t="s">
        <v>176</v>
      </c>
      <c r="E35" s="9" t="s">
        <v>177</v>
      </c>
      <c r="F35" s="9"/>
      <c r="G35" s="9">
        <v>1720</v>
      </c>
      <c r="H35" s="9">
        <f>I35+J35</f>
        <v>51</v>
      </c>
      <c r="I35" s="9">
        <v>50</v>
      </c>
      <c r="J35" s="9">
        <f>SUM(L35:BW35)</f>
        <v>1</v>
      </c>
      <c r="K35" s="10">
        <f>J35/H35</f>
        <v>1.9607843137254902E-2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9">
        <v>1</v>
      </c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</row>
    <row r="36" spans="1:75">
      <c r="A36" s="8">
        <v>46234</v>
      </c>
      <c r="B36" s="9" t="s">
        <v>178</v>
      </c>
      <c r="C36" s="9" t="s">
        <v>179</v>
      </c>
      <c r="D36" s="9" t="s">
        <v>180</v>
      </c>
      <c r="E36" s="9" t="s">
        <v>181</v>
      </c>
      <c r="F36" s="9"/>
      <c r="G36" s="9">
        <v>1720</v>
      </c>
      <c r="H36" s="9">
        <f>I36+J36</f>
        <v>316</v>
      </c>
      <c r="I36" s="9">
        <v>308</v>
      </c>
      <c r="J36" s="9">
        <f>SUM(L36:BW36)</f>
        <v>8</v>
      </c>
      <c r="K36" s="10">
        <f>J36/H36</f>
        <v>2.5316455696202531E-2</v>
      </c>
      <c r="L36" s="11"/>
      <c r="M36" s="11"/>
      <c r="N36" s="11"/>
      <c r="O36" s="11"/>
      <c r="P36" s="11"/>
      <c r="Q36" s="11"/>
      <c r="R36" s="9">
        <v>3</v>
      </c>
      <c r="S36" s="9">
        <v>5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</row>
    <row r="37" spans="1:75">
      <c r="A37" s="8">
        <v>46234</v>
      </c>
      <c r="B37" s="9" t="s">
        <v>182</v>
      </c>
      <c r="C37" s="9" t="s">
        <v>183</v>
      </c>
      <c r="D37" s="9" t="s">
        <v>184</v>
      </c>
      <c r="E37" s="9" t="s">
        <v>185</v>
      </c>
      <c r="F37" s="9"/>
      <c r="G37" s="9">
        <v>1720</v>
      </c>
      <c r="H37" s="9">
        <f>I37+J37</f>
        <v>261</v>
      </c>
      <c r="I37" s="9">
        <v>253</v>
      </c>
      <c r="J37" s="9">
        <f>SUM(L37:BW37)</f>
        <v>8</v>
      </c>
      <c r="K37" s="10">
        <f>J37/H37</f>
        <v>3.0651340996168581E-2</v>
      </c>
      <c r="L37" s="11"/>
      <c r="M37" s="11"/>
      <c r="N37" s="11"/>
      <c r="O37" s="11"/>
      <c r="P37" s="9">
        <v>2</v>
      </c>
      <c r="Q37" s="9">
        <v>1</v>
      </c>
      <c r="R37" s="9">
        <v>1</v>
      </c>
      <c r="S37" s="11"/>
      <c r="T37" s="9">
        <v>1</v>
      </c>
      <c r="U37" s="11"/>
      <c r="V37" s="9">
        <v>3</v>
      </c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</row>
    <row r="38" spans="1:75">
      <c r="A38" s="8">
        <v>46234</v>
      </c>
      <c r="B38" s="9" t="s">
        <v>172</v>
      </c>
      <c r="C38" s="9" t="s">
        <v>173</v>
      </c>
      <c r="D38" s="9" t="s">
        <v>186</v>
      </c>
      <c r="E38" s="9" t="s">
        <v>187</v>
      </c>
      <c r="F38" s="9"/>
      <c r="G38" s="9">
        <v>2000</v>
      </c>
      <c r="H38" s="9">
        <f>I38+J38</f>
        <v>6</v>
      </c>
      <c r="I38" s="9">
        <v>5</v>
      </c>
      <c r="J38" s="9">
        <f>SUM(L38:BW38)</f>
        <v>1</v>
      </c>
      <c r="K38" s="10">
        <f>J38/H38</f>
        <v>0.16666666666666666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9">
        <v>1</v>
      </c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</row>
    <row r="39" spans="1:75">
      <c r="A39" s="8">
        <v>46234</v>
      </c>
      <c r="B39" s="9" t="s">
        <v>188</v>
      </c>
      <c r="C39" s="9" t="s">
        <v>189</v>
      </c>
      <c r="D39" s="9" t="s">
        <v>190</v>
      </c>
      <c r="E39" s="9" t="s">
        <v>191</v>
      </c>
      <c r="F39" s="9"/>
      <c r="G39" s="9">
        <v>500</v>
      </c>
      <c r="H39" s="9">
        <f>I39+J39</f>
        <v>134</v>
      </c>
      <c r="I39" s="9">
        <v>129</v>
      </c>
      <c r="J39" s="9">
        <f>SUM(L39:BW39)</f>
        <v>5</v>
      </c>
      <c r="K39" s="10">
        <f>J39/H39</f>
        <v>3.7313432835820892E-2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9">
        <v>1</v>
      </c>
      <c r="BA39" s="11"/>
      <c r="BB39" s="11"/>
      <c r="BC39" s="11"/>
      <c r="BD39" s="11"/>
      <c r="BE39" s="11"/>
      <c r="BF39" s="9">
        <v>1</v>
      </c>
      <c r="BG39" s="11"/>
      <c r="BH39" s="11"/>
      <c r="BI39" s="11"/>
      <c r="BJ39" s="9">
        <v>3</v>
      </c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</row>
    <row r="40" spans="1:75">
      <c r="A40" s="8">
        <v>46234</v>
      </c>
      <c r="B40" s="9" t="s">
        <v>192</v>
      </c>
      <c r="C40" s="9" t="s">
        <v>193</v>
      </c>
      <c r="D40" s="9" t="s">
        <v>194</v>
      </c>
      <c r="E40" s="9" t="s">
        <v>195</v>
      </c>
      <c r="F40" s="9"/>
      <c r="G40" s="9">
        <v>1000</v>
      </c>
      <c r="H40" s="9">
        <f>I40+J40</f>
        <v>292</v>
      </c>
      <c r="I40" s="9">
        <v>281</v>
      </c>
      <c r="J40" s="9">
        <f>SUM(L40:BW40)</f>
        <v>11</v>
      </c>
      <c r="K40" s="10">
        <f>J40/H40</f>
        <v>3.7671232876712327E-2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9">
        <v>1</v>
      </c>
      <c r="W40" s="11"/>
      <c r="X40" s="11"/>
      <c r="Y40" s="11"/>
      <c r="Z40" s="11"/>
      <c r="AA40" s="11"/>
      <c r="AB40" s="11"/>
      <c r="AC40" s="11"/>
      <c r="AD40" s="9">
        <v>1</v>
      </c>
      <c r="AE40" s="11"/>
      <c r="AF40" s="11"/>
      <c r="AG40" s="11"/>
      <c r="AH40" s="9">
        <v>1</v>
      </c>
      <c r="AI40" s="9">
        <v>1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9">
        <v>2</v>
      </c>
      <c r="AZ40" s="9">
        <v>1</v>
      </c>
      <c r="BA40" s="11"/>
      <c r="BB40" s="11"/>
      <c r="BC40" s="11"/>
      <c r="BD40" s="11"/>
      <c r="BE40" s="11"/>
      <c r="BF40" s="11"/>
      <c r="BG40" s="11"/>
      <c r="BH40" s="11"/>
      <c r="BI40" s="9">
        <v>1</v>
      </c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9">
        <v>3</v>
      </c>
    </row>
    <row r="41" spans="1:75">
      <c r="A41" s="8">
        <v>46234</v>
      </c>
      <c r="B41" s="9" t="s">
        <v>192</v>
      </c>
      <c r="C41" s="9" t="s">
        <v>193</v>
      </c>
      <c r="D41" s="9" t="s">
        <v>196</v>
      </c>
      <c r="E41" s="9" t="s">
        <v>197</v>
      </c>
      <c r="F41" s="9"/>
      <c r="G41" s="9">
        <v>1000</v>
      </c>
      <c r="H41" s="9">
        <f>I41+J41</f>
        <v>20</v>
      </c>
      <c r="I41" s="9">
        <v>19</v>
      </c>
      <c r="J41" s="9">
        <f>SUM(L41:BW41)</f>
        <v>1</v>
      </c>
      <c r="K41" s="10">
        <f>J41/H41</f>
        <v>0.05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9">
        <v>1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</row>
    <row r="42" spans="1:75">
      <c r="A42" s="8">
        <v>46234</v>
      </c>
      <c r="B42" s="9" t="s">
        <v>198</v>
      </c>
      <c r="C42" s="9" t="s">
        <v>199</v>
      </c>
      <c r="D42" s="9" t="s">
        <v>200</v>
      </c>
      <c r="E42" s="9" t="s">
        <v>201</v>
      </c>
      <c r="F42" s="9"/>
      <c r="G42" s="9">
        <v>1500</v>
      </c>
      <c r="H42" s="9">
        <f>I42+J42</f>
        <v>278</v>
      </c>
      <c r="I42" s="9">
        <v>270</v>
      </c>
      <c r="J42" s="9">
        <f>SUM(L42:BW42)</f>
        <v>8</v>
      </c>
      <c r="K42" s="10">
        <f>J42/H42</f>
        <v>2.8776978417266189E-2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9">
        <v>1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9">
        <v>3</v>
      </c>
      <c r="AW42" s="11"/>
      <c r="AX42" s="11"/>
      <c r="AY42" s="9">
        <v>4</v>
      </c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</row>
    <row r="43" spans="1:75">
      <c r="A43" s="8">
        <v>46234</v>
      </c>
      <c r="B43" s="9" t="s">
        <v>202</v>
      </c>
      <c r="C43" s="9" t="s">
        <v>203</v>
      </c>
      <c r="D43" s="9" t="s">
        <v>204</v>
      </c>
      <c r="E43" s="9" t="s">
        <v>205</v>
      </c>
      <c r="F43" s="9"/>
      <c r="G43" s="9">
        <v>250</v>
      </c>
      <c r="H43" s="9">
        <f>I43+J43</f>
        <v>47</v>
      </c>
      <c r="I43" s="9">
        <v>45</v>
      </c>
      <c r="J43" s="9">
        <f>SUM(L43:BW43)</f>
        <v>2</v>
      </c>
      <c r="K43" s="10">
        <f>J43/H43</f>
        <v>4.2553191489361701E-2</v>
      </c>
      <c r="L43" s="9">
        <v>1</v>
      </c>
      <c r="M43" s="11"/>
      <c r="N43" s="11"/>
      <c r="O43" s="11"/>
      <c r="P43" s="11"/>
      <c r="Q43" s="11"/>
      <c r="R43" s="11"/>
      <c r="S43" s="11"/>
      <c r="T43" s="9">
        <v>1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</row>
    <row r="44" spans="1:75">
      <c r="A44" s="8">
        <v>46234</v>
      </c>
      <c r="B44" s="9" t="s">
        <v>206</v>
      </c>
      <c r="C44" s="9" t="s">
        <v>207</v>
      </c>
      <c r="D44" s="9" t="s">
        <v>204</v>
      </c>
      <c r="E44" s="9" t="s">
        <v>205</v>
      </c>
      <c r="F44" s="9"/>
      <c r="G44" s="9">
        <v>250</v>
      </c>
      <c r="H44" s="9">
        <f>I44+J44</f>
        <v>47</v>
      </c>
      <c r="I44" s="9">
        <v>45</v>
      </c>
      <c r="J44" s="9">
        <f>SUM(L44:BW44)</f>
        <v>2</v>
      </c>
      <c r="K44" s="10">
        <f>J44/H44</f>
        <v>4.2553191489361701E-2</v>
      </c>
      <c r="L44" s="11"/>
      <c r="M44" s="11"/>
      <c r="N44" s="11"/>
      <c r="O44" s="11"/>
      <c r="P44" s="11"/>
      <c r="Q44" s="11"/>
      <c r="R44" s="9">
        <v>1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9">
        <v>1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</row>
    <row r="45" spans="1:75" ht="33" customHeight="1">
      <c r="A45" s="12"/>
      <c r="B45" s="6"/>
      <c r="C45" s="6"/>
      <c r="D45" s="6"/>
      <c r="E45" s="6"/>
      <c r="F45" s="6" t="s">
        <v>208</v>
      </c>
      <c r="G45" s="6">
        <f>SUM(G4:G44)</f>
        <v>92176</v>
      </c>
      <c r="H45" s="6">
        <f>SUM(H4:H44)</f>
        <v>11720</v>
      </c>
      <c r="I45" s="6">
        <f>SUM(I4:I44)</f>
        <v>11339</v>
      </c>
      <c r="J45" s="6">
        <f>SUM(J4:J44)</f>
        <v>381</v>
      </c>
      <c r="K45" s="10">
        <f>SUM(J4:J44)/SUM(H4:H44)</f>
        <v>3.250853242320819E-2</v>
      </c>
      <c r="L45" s="6">
        <f>SUM(L4:L44)</f>
        <v>10</v>
      </c>
      <c r="M45" s="6">
        <f>SUM(M4:M44)</f>
        <v>8</v>
      </c>
      <c r="N45" s="6">
        <f>SUM(N4:N44)</f>
        <v>19</v>
      </c>
      <c r="O45" s="6">
        <f>SUM(O4:O44)</f>
        <v>17</v>
      </c>
      <c r="P45" s="6">
        <f>SUM(P4:P44)</f>
        <v>8</v>
      </c>
      <c r="Q45" s="6">
        <f>SUM(Q4:Q44)</f>
        <v>6</v>
      </c>
      <c r="R45" s="6">
        <f>SUM(R4:R44)</f>
        <v>31</v>
      </c>
      <c r="S45" s="6">
        <f>SUM(S4:S44)</f>
        <v>14</v>
      </c>
      <c r="T45" s="6">
        <f>SUM(T4:T44)</f>
        <v>24</v>
      </c>
      <c r="U45" s="6">
        <f>SUM(U4:U44)</f>
        <v>17</v>
      </c>
      <c r="V45" s="6">
        <f>SUM(V4:V44)</f>
        <v>18</v>
      </c>
      <c r="W45" s="6">
        <f>SUM(W4:W44)</f>
        <v>7</v>
      </c>
      <c r="X45" s="6">
        <f>SUM(X4:X44)</f>
        <v>17</v>
      </c>
      <c r="Y45" s="6">
        <f>SUM(Y4:Y44)</f>
        <v>10</v>
      </c>
      <c r="Z45" s="6">
        <f>SUM(Z4:Z44)</f>
        <v>11</v>
      </c>
      <c r="AA45" s="6">
        <f>SUM(AA4:AA44)</f>
        <v>5</v>
      </c>
      <c r="AB45" s="6">
        <f>SUM(AB4:AB44)</f>
        <v>7</v>
      </c>
      <c r="AC45" s="6">
        <f>SUM(AC4:AC44)</f>
        <v>13</v>
      </c>
      <c r="AD45" s="6">
        <f>SUM(AD4:AD44)</f>
        <v>7</v>
      </c>
      <c r="AE45" s="6">
        <f>SUM(AE4:AE44)</f>
        <v>14</v>
      </c>
      <c r="AF45" s="6">
        <f>SUM(AF4:AF44)</f>
        <v>0</v>
      </c>
      <c r="AG45" s="6">
        <f>SUM(AG4:AG44)</f>
        <v>0</v>
      </c>
      <c r="AH45" s="6">
        <f>SUM(AH4:AH44)</f>
        <v>5</v>
      </c>
      <c r="AI45" s="6">
        <f>SUM(AI4:AI44)</f>
        <v>3</v>
      </c>
      <c r="AJ45" s="6">
        <f>SUM(AJ4:AJ44)</f>
        <v>0</v>
      </c>
      <c r="AK45" s="6">
        <f>SUM(AK4:AK44)</f>
        <v>0</v>
      </c>
      <c r="AL45" s="6">
        <f>SUM(AL4:AL44)</f>
        <v>0</v>
      </c>
      <c r="AM45" s="6">
        <f>SUM(AM4:AM44)</f>
        <v>0</v>
      </c>
      <c r="AN45" s="6">
        <f>SUM(AN4:AN44)</f>
        <v>0</v>
      </c>
      <c r="AO45" s="6">
        <f>SUM(AO4:AO44)</f>
        <v>0</v>
      </c>
      <c r="AP45" s="6">
        <f>SUM(AP4:AP44)</f>
        <v>0</v>
      </c>
      <c r="AQ45" s="6">
        <f>SUM(AQ4:AQ44)</f>
        <v>1</v>
      </c>
      <c r="AR45" s="6">
        <f>SUM(AR4:AR44)</f>
        <v>0</v>
      </c>
      <c r="AS45" s="6">
        <f>SUM(AS4:AS44)</f>
        <v>0</v>
      </c>
      <c r="AT45" s="6">
        <f>SUM(AT4:AT44)</f>
        <v>6</v>
      </c>
      <c r="AU45" s="6">
        <f>SUM(AU4:AU44)</f>
        <v>5</v>
      </c>
      <c r="AV45" s="6">
        <f>SUM(AV4:AV44)</f>
        <v>7</v>
      </c>
      <c r="AW45" s="6">
        <f>SUM(AW4:AW44)</f>
        <v>1</v>
      </c>
      <c r="AX45" s="6">
        <f>SUM(AX4:AX44)</f>
        <v>14</v>
      </c>
      <c r="AY45" s="6">
        <f>SUM(AY4:AY44)</f>
        <v>7</v>
      </c>
      <c r="AZ45" s="6">
        <f>SUM(AZ4:AZ44)</f>
        <v>9</v>
      </c>
      <c r="BA45" s="6">
        <f>SUM(BA4:BA44)</f>
        <v>0</v>
      </c>
      <c r="BB45" s="6">
        <f>SUM(BB4:BB44)</f>
        <v>6</v>
      </c>
      <c r="BC45" s="6">
        <f>SUM(BC4:BC44)</f>
        <v>3</v>
      </c>
      <c r="BD45" s="6">
        <f>SUM(BD4:BD44)</f>
        <v>0</v>
      </c>
      <c r="BE45" s="6">
        <f>SUM(BE4:BE44)</f>
        <v>4</v>
      </c>
      <c r="BF45" s="6">
        <f>SUM(BF4:BF44)</f>
        <v>10</v>
      </c>
      <c r="BG45" s="6">
        <f>SUM(BG4:BG44)</f>
        <v>3</v>
      </c>
      <c r="BH45" s="6">
        <f>SUM(BH4:BH44)</f>
        <v>0</v>
      </c>
      <c r="BI45" s="6">
        <f>SUM(BI4:BI44)</f>
        <v>10</v>
      </c>
      <c r="BJ45" s="6">
        <f>SUM(BJ4:BJ44)</f>
        <v>4</v>
      </c>
      <c r="BK45" s="6">
        <f>SUM(BK4:BK44)</f>
        <v>0</v>
      </c>
      <c r="BL45" s="6">
        <f>SUM(BL4:BL44)</f>
        <v>4</v>
      </c>
      <c r="BM45" s="6">
        <f>SUM(BM4:BM44)</f>
        <v>0</v>
      </c>
      <c r="BN45" s="6">
        <f>SUM(BN4:BN44)</f>
        <v>3</v>
      </c>
      <c r="BO45" s="6">
        <f>SUM(BO4:BO44)</f>
        <v>0</v>
      </c>
      <c r="BP45" s="6">
        <f>SUM(BP4:BP44)</f>
        <v>0</v>
      </c>
      <c r="BQ45" s="6">
        <f>SUM(BQ4:BQ44)</f>
        <v>0</v>
      </c>
      <c r="BR45" s="6">
        <f>SUM(BR4:BR44)</f>
        <v>0</v>
      </c>
      <c r="BS45" s="6">
        <f>SUM(BS4:BS44)</f>
        <v>10</v>
      </c>
      <c r="BT45" s="6">
        <f>SUM(BT4:BT44)</f>
        <v>0</v>
      </c>
      <c r="BU45" s="6">
        <f>SUM(BU4:BU44)</f>
        <v>0</v>
      </c>
      <c r="BV45" s="6">
        <f>SUM(BV4:BV44)</f>
        <v>0</v>
      </c>
      <c r="BW45" s="6">
        <f>SUM(BW4:BW44)</f>
        <v>3</v>
      </c>
    </row>
  </sheetData>
  <mergeCells count="21">
    <mergeCell ref="AM2:AQ2"/>
    <mergeCell ref="AR2:AU2"/>
    <mergeCell ref="AV2:AW2"/>
    <mergeCell ref="AX2:BC2"/>
    <mergeCell ref="BD2:BV2"/>
    <mergeCell ref="J2:J3"/>
    <mergeCell ref="K2:K3"/>
    <mergeCell ref="L2:Z2"/>
    <mergeCell ref="AA2:AD2"/>
    <mergeCell ref="AE2:AI2"/>
    <mergeCell ref="AJ2:AL2"/>
    <mergeCell ref="A1:BW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2026-08-03T08:22:56Z</dcterms:created>
  <dcterms:modified xsi:type="dcterms:W3CDTF">2026-08-03T08:23:05Z</dcterms:modified>
</cp:coreProperties>
</file>